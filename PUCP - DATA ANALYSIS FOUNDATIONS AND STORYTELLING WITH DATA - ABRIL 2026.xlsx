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rodri\OneDrive\Documentos\Clases\2026\Data Visualization and Dashboarding PUCP\"/>
    </mc:Choice>
  </mc:AlternateContent>
  <bookViews>
    <workbookView xWindow="0" yWindow="0" windowWidth="28800" windowHeight="11730"/>
  </bookViews>
  <sheets>
    <sheet name="GRUPO III" sheetId="4" r:id="rId1"/>
  </sheets>
  <calcPr calcId="162913"/>
</workbook>
</file>

<file path=xl/calcChain.xml><?xml version="1.0" encoding="utf-8"?>
<calcChain xmlns="http://schemas.openxmlformats.org/spreadsheetml/2006/main">
  <c r="E95" i="4" l="1"/>
  <c r="F95" i="4" s="1"/>
  <c r="C95" i="4"/>
  <c r="N94" i="4"/>
  <c r="L94" i="4"/>
  <c r="O94" i="4" s="1"/>
  <c r="F94" i="4"/>
  <c r="E94" i="4"/>
  <c r="C94" i="4"/>
  <c r="N93" i="4"/>
  <c r="O93" i="4" s="1"/>
  <c r="O95" i="4" s="1"/>
  <c r="L93" i="4"/>
  <c r="E93" i="4"/>
  <c r="F93" i="4" s="1"/>
  <c r="C93" i="4"/>
  <c r="P42" i="4"/>
  <c r="O42" i="4"/>
  <c r="P41" i="4"/>
  <c r="O41" i="4"/>
  <c r="Q41" i="4" s="1"/>
  <c r="I36" i="4"/>
  <c r="M34" i="4"/>
  <c r="O34" i="4" s="1"/>
  <c r="J34" i="4"/>
  <c r="I34" i="4"/>
  <c r="M33" i="4"/>
  <c r="O33" i="4" s="1"/>
  <c r="J33" i="4"/>
  <c r="J37" i="4" s="1"/>
  <c r="I33" i="4"/>
  <c r="M32" i="4"/>
  <c r="O32" i="4" s="1"/>
  <c r="J32" i="4"/>
  <c r="I32" i="4"/>
  <c r="Q42" i="4" l="1"/>
  <c r="Q44" i="4" s="1"/>
</calcChain>
</file>

<file path=xl/sharedStrings.xml><?xml version="1.0" encoding="utf-8"?>
<sst xmlns="http://schemas.openxmlformats.org/spreadsheetml/2006/main" count="72" uniqueCount="57">
  <si>
    <t xml:space="preserve">INDICADOR </t>
  </si>
  <si>
    <t>Definicion</t>
  </si>
  <si>
    <t>Formula</t>
  </si>
  <si>
    <t>Unidades</t>
  </si>
  <si>
    <t>Porcentual</t>
  </si>
  <si>
    <t>Frecuencia</t>
  </si>
  <si>
    <t>Rangos</t>
  </si>
  <si>
    <t>Impacto Economico</t>
  </si>
  <si>
    <t>BUSINESS CASE</t>
  </si>
  <si>
    <t>Objetivo</t>
  </si>
  <si>
    <t>Estrategia</t>
  </si>
  <si>
    <t>Costo/Beneficio</t>
  </si>
  <si>
    <t>DASHBOARD</t>
  </si>
  <si>
    <t>WHAT</t>
  </si>
  <si>
    <t>SO WHAT</t>
  </si>
  <si>
    <t>Reporte con Storytelling</t>
  </si>
  <si>
    <t>NOW WHAT?</t>
  </si>
  <si>
    <t>Facturacion adicional</t>
  </si>
  <si>
    <t>INDICADOR ANUAL DE ARÁNDANOS EXPORTABLES POR CAMPAÑA DE EMPRESA BERRYDATA</t>
  </si>
  <si>
    <t>El porcentaje de arándanos exportables es un indicador estratégico gestionado por el área de control de calidad de BerryData, que mide la proporción de la cosecha que cumple con los estándares requeridos para su comercialización en mercados internacionales, en relación con el total de kilogramos cosechados. La validación de este indicador se realiza mediante tres métricas fundamentales: firmeza, calibre y grados Brix. Estas variables determinan si el fruto posee las condiciones de calidad necesarias para soportar procesos de almacenamiento, transporte y comercialización en el mercado de exportación. Los arándanos que no cumplen con estos parámetros son destinados al mercado nacional, donde el valor comercial es considerablemente menor.
La relevancia de este indicador radica en su impacto directo sobre la rentabilidad de la empresa. En promedio, un kilogramo de arándano exportable alcanza un valor de mercado cercano a S/12, mientras que un kilogramo no exportable se comercializa aproximadamente en S/5. Considerando una producción anual promedio de 100,000 kg, cada incremento de 1% en el porcentaje de fruta exportable representa aproximadamente S/7,000 adicionales en la facturación anual. Esto convierte al indicador en una variable crítica tanto para el área de calidad como para la sostenibilidad económica de la empresa. Desde una perspectiva operativa, el indicador permite evaluar la eficiencia del proceso postcosecha y el nivel de cumplimiento de los estándares comerciales exigidos por el mercado internacional. Un menor porcentaje de fruta exportable genera pérdidas económicas debido a que una mayor proporción de la producción debe comercializarse en mercados de menor valor, reduciendo el margen de ganancia esperado.
Actualmente, la empresa enfrenta el desafío de minimizar las pérdidas de fruta exportable asociadas principalmente a desviaciones en los parámetros de calidad postcosecha, especialmente en firmeza y grados Brix. Estas variaciones afectan directamente la clasificación comercial del producto y limitan el volumen destinado a exportación.
Dado este contexto, BerryData ha establecido un umbral óptimo de exportabilidad de 85%, ya que alcanzar o superar este nivel garantiza una alta proporción de fruta destinada al mercado de mayor valor comercial. Asimismo, se considera una zona de alerta cuando el indicador se encuentra entre 75% y 84%, debido a que entre el 15% y 25% de la producción pierde condición exportable y reduce la rentabilidad proyectada. Finalmente, un nivel igual o menor a 75% representa un estado crítico, pues implica una pérdida significativa de valor comercial y un menor aprovechamiento económico de la producción total.
En este sentido, el monitoreo del porcentaje de arándanos exportables no solo cumple una función de control de calidad, sino que también se convierte en una herramienta estratégica para la toma de decisiones, permitiendo identificar riesgos operativos, optimizar la rentabilidad y fortalecer la competitividad de la empresa en mercados internacionales.</t>
  </si>
  <si>
    <t>Kilogramos totales de arándano exportables en un periodo de campana anual</t>
  </si>
  <si>
    <t>----------------------------------------------------------- x 100</t>
  </si>
  <si>
    <t>Kilogramos totales de arándano producidos en un periodo de campana anual</t>
  </si>
  <si>
    <t>calidad de arándanos</t>
  </si>
  <si>
    <t>precio por calidad de arándano</t>
  </si>
  <si>
    <t>precio nacional</t>
  </si>
  <si>
    <t>precio exp.</t>
  </si>
  <si>
    <t>Producción total kg</t>
  </si>
  <si>
    <t>Producción de Kg exportables</t>
  </si>
  <si>
    <t>Facturacion exportables</t>
  </si>
  <si>
    <t>Facturacion no exportables</t>
  </si>
  <si>
    <t>Ganancia</t>
  </si>
  <si>
    <t>Campana anual</t>
  </si>
  <si>
    <t>&gt;= 85%</t>
  </si>
  <si>
    <t>&gt; 75% a &lt; 85%</t>
  </si>
  <si>
    <t>&lt;= 75%</t>
  </si>
  <si>
    <t xml:space="preserve">Para una produccion de 100 mil kilogramos de arandanos por campana anual a un precio de 12 soles por kilogramo\ de arandano exportable y 5 soles por kilogramo de arandano nacional, una desviacion positiva de 1% de este indicador representa una facturacion adicional de 7 mil soles por campana anual        
</t>
  </si>
  <si>
    <t>Facturación total</t>
  </si>
  <si>
    <r>
      <rPr>
        <sz val="10"/>
        <color theme="1"/>
        <rFont val="Arial"/>
        <family val="2"/>
      </rPr>
      <t xml:space="preserve">Al </t>
    </r>
    <r>
      <rPr>
        <b/>
        <sz val="10"/>
        <color theme="1"/>
        <rFont val="Arial"/>
        <family val="2"/>
      </rPr>
      <t>cierre de la campaña anual 25-26 (01 de mayo de 202</t>
    </r>
    <r>
      <rPr>
        <sz val="10"/>
        <color theme="1"/>
        <rFont val="Arial"/>
        <family val="2"/>
      </rPr>
      <t>6), el valor de INDICADOR ANUAL DE ARÁNDANOS EXPORTABLES POR CAMPAÑA DE EMPRESA BERRYDATA es de</t>
    </r>
    <r>
      <rPr>
        <b/>
        <sz val="10"/>
        <color theme="1"/>
        <rFont val="Arial"/>
        <family val="2"/>
      </rPr>
      <t xml:space="preserve"> 75%</t>
    </r>
    <r>
      <rPr>
        <sz val="10"/>
        <color theme="1"/>
        <rFont val="Arial"/>
        <family val="2"/>
      </rPr>
      <t xml:space="preserve">, ubicándose en un nivel de eficiencia bajo (semáforo rojo).
El objetivo de BerryData es incrementar este indicador a </t>
    </r>
    <r>
      <rPr>
        <b/>
        <sz val="10"/>
        <color theme="1"/>
        <rFont val="Arial"/>
        <family val="2"/>
      </rPr>
      <t>85%</t>
    </r>
    <r>
      <rPr>
        <sz val="10"/>
        <color theme="1"/>
        <rFont val="Arial"/>
        <family val="2"/>
      </rPr>
      <t xml:space="preserve"> al </t>
    </r>
    <r>
      <rPr>
        <b/>
        <sz val="10"/>
        <color theme="1"/>
        <rFont val="Arial"/>
        <family val="2"/>
      </rPr>
      <t>cierre de la campaña 26-27 (01 de mayo de 2027)</t>
    </r>
    <r>
      <rPr>
        <sz val="10"/>
        <color theme="1"/>
        <rFont val="Arial"/>
        <family val="2"/>
      </rPr>
      <t>, alcanzando el nivel óptimo de eficiencia (semáforo verde) y mejorando la rentabilidad de la operación.</t>
    </r>
  </si>
  <si>
    <t>Para alcanzar este objetivo, se propone implementar un plan de mejora enfocado en el proceso postcosecha, el cual incluye:
-Capacitación al personal de selección y clasificación de fruta.
-Estandarización de criterios de calidad exportable.
-Optimización del manejo y conservación de fruta.
-Seguimiento operativo mediante indicadores de calidad.
Estas acciones permitirán reducir pérdidas de fruta no exportable y aumentar el volumen destinado al mercado internacional.</t>
  </si>
  <si>
    <r>
      <rPr>
        <sz val="10"/>
        <color theme="1"/>
        <rFont val="Arial"/>
        <family val="2"/>
      </rPr>
      <t xml:space="preserve">El precio total de implementacion de esta estrategia es de </t>
    </r>
    <r>
      <rPr>
        <b/>
        <sz val="10"/>
        <color theme="1"/>
        <rFont val="Arial"/>
        <family val="2"/>
      </rPr>
      <t xml:space="preserve">20 000 soles </t>
    </r>
    <r>
      <rPr>
        <sz val="10"/>
        <color theme="1"/>
        <rFont val="Arial"/>
        <family val="2"/>
      </rPr>
      <t xml:space="preserve">por campana anual como costo unico total. Se estima que al cumplir este objetivo en la fecha propuesta, la facturacion adicional por campana anual sera de </t>
    </r>
    <r>
      <rPr>
        <b/>
        <sz val="10"/>
        <color theme="1"/>
        <rFont val="Arial"/>
        <family val="2"/>
      </rPr>
      <t>70 000 soles</t>
    </r>
    <r>
      <rPr>
        <sz val="10"/>
        <color theme="1"/>
        <rFont val="Arial"/>
        <family val="2"/>
      </rPr>
      <t xml:space="preserve">.                                                                
</t>
    </r>
  </si>
  <si>
    <t>Control de Calidad y Exportabilidad – BerryData</t>
  </si>
  <si>
    <t>Fecha de actualización: 1 de mayo 2026</t>
  </si>
  <si>
    <t xml:space="preserve">Indicador anual de Arándanos exportables por campaña                                                    </t>
  </si>
  <si>
    <t>% Arándanos exportables</t>
  </si>
  <si>
    <t>Kg</t>
  </si>
  <si>
    <t>Fecha</t>
  </si>
  <si>
    <t>% Kg exportables actual</t>
  </si>
  <si>
    <t>Facturacion sin inversion</t>
  </si>
  <si>
    <t>Meta % Kg exportables</t>
  </si>
  <si>
    <t>Facturacion con inversion</t>
  </si>
  <si>
    <t>01 mayo 2026</t>
  </si>
  <si>
    <t>01 mayo 2027</t>
  </si>
  <si>
    <t>01 mayo 2028</t>
  </si>
  <si>
    <t>Al inicio de la campaña 2026, BerryData registró un 75% de arándano exportable, equivalente a 75,000 kg de 100,000 kg producidos. El 25% restante fue destinado a mercados de menor valor, reduciendo la rentabilidad y generando una facturación aproximada de S/1,025,000. Por tanto nuestro Indicador Anual de Arándanos Exportables por campaña está 10% por debajo de lo desperado.</t>
  </si>
  <si>
    <t xml:space="preserve">El bajo nivel de exportabilidad genera pérdidas económicas, ya que la fruta no exportable reduce su valor de S/12 a S/5 por kg. La empresa deja de percibir cerca de S/70,000 anuales debido a deficiencias en selección, manejo y conservación postcosecha, afectando su competitividad y eficiencia operativa.
</t>
  </si>
  <si>
    <t>BerryData busca elevar la exportabilidad al 85% mediante: 
-Capacitación al personal de selección y clasificación de fruta.
-Estandarización de criterios de calidad exportable.
-Optimización del manejo y conservación de fruta.
-Seguimiento operativo mediante indicadores de calidad.
Con ello, proyecta aumentar la facturación anual a S/1,095,000 y generar una ganancia adicional de S/. 50,000 luego de la inversión de S/. 20,000.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</si>
</sst>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8" formatCode="[$S/.]#,##0.00"/>
  </numFmts>
  <fonts count="10" x14ac:knownFonts="1">
    <font>
      <sz val="10"/>
      <color rgb="FF000000"/>
      <name val="Arial"/>
      <scheme val="minor"/>
    </font>
    <font>
      <sz val="10"/>
      <color theme="1"/>
      <name val="Arial"/>
      <family val="2"/>
    </font>
    <font>
      <b/>
      <sz val="10"/>
      <color theme="1"/>
      <name val="Arial"/>
      <family val="2"/>
    </font>
    <font>
      <sz val="10"/>
      <color theme="1"/>
      <name val="Arial"/>
      <family val="2"/>
      <scheme val="minor"/>
    </font>
    <font>
      <b/>
      <sz val="36"/>
      <color theme="1"/>
      <name val="Arial"/>
      <family val="2"/>
      <scheme val="minor"/>
    </font>
    <font>
      <sz val="10"/>
      <color rgb="FF000000"/>
      <name val="Arial"/>
      <family val="2"/>
    </font>
    <font>
      <b/>
      <sz val="10"/>
      <color rgb="FF000000"/>
      <name val="Arial"/>
      <family val="2"/>
    </font>
    <font>
      <b/>
      <sz val="10"/>
      <color theme="1"/>
      <name val="Arial"/>
      <family val="2"/>
      <scheme val="minor"/>
    </font>
    <font>
      <sz val="10"/>
      <name val="Arial"/>
      <family val="2"/>
    </font>
    <font>
      <b/>
      <sz val="17"/>
      <color rgb="FF980000"/>
      <name val="Arial"/>
      <family val="2"/>
      <scheme val="minor"/>
    </font>
  </fonts>
  <fills count="8">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00FF00"/>
        <bgColor rgb="FF00FF00"/>
      </patternFill>
    </fill>
    <fill>
      <patternFill patternType="solid">
        <fgColor rgb="FFFF0000"/>
        <bgColor rgb="FFFF0000"/>
      </patternFill>
    </fill>
    <fill>
      <patternFill patternType="solid">
        <fgColor rgb="FFC9DAF8"/>
        <bgColor rgb="FFC9DAF8"/>
      </patternFill>
    </fill>
    <fill>
      <patternFill patternType="solid">
        <fgColor rgb="FFEA9999"/>
        <bgColor rgb="FFEA9999"/>
      </patternFill>
    </fill>
  </fills>
  <borders count="15">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57">
    <xf numFmtId="0" fontId="0"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6" fillId="0" borderId="0" xfId="0" applyFont="1" applyAlignment="1"/>
    <xf numFmtId="0" fontId="5" fillId="0" borderId="0" xfId="0" applyFont="1" applyAlignment="1"/>
    <xf numFmtId="0" fontId="5" fillId="4" borderId="0" xfId="0" applyFont="1" applyFill="1" applyAlignment="1"/>
    <xf numFmtId="0" fontId="5" fillId="3" borderId="0" xfId="0" applyFont="1" applyFill="1" applyAlignment="1"/>
    <xf numFmtId="0" fontId="5" fillId="5" borderId="0" xfId="0" applyFont="1" applyFill="1" applyAlignment="1"/>
    <xf numFmtId="9" fontId="3" fillId="0" borderId="0" xfId="0" applyNumberFormat="1" applyFont="1" applyAlignment="1"/>
    <xf numFmtId="10" fontId="3" fillId="0" borderId="0" xfId="0" applyNumberFormat="1" applyFont="1"/>
    <xf numFmtId="0" fontId="3" fillId="0" borderId="6" xfId="0" applyFont="1" applyBorder="1" applyAlignment="1"/>
    <xf numFmtId="9" fontId="3" fillId="0" borderId="6" xfId="0" applyNumberFormat="1" applyFont="1" applyBorder="1" applyAlignment="1"/>
    <xf numFmtId="0" fontId="5" fillId="2" borderId="0" xfId="0" applyFont="1" applyFill="1" applyAlignment="1">
      <alignment horizontal="left"/>
    </xf>
    <xf numFmtId="9" fontId="3" fillId="0" borderId="0" xfId="0" applyNumberFormat="1" applyFont="1"/>
    <xf numFmtId="3" fontId="3" fillId="0" borderId="0" xfId="0" applyNumberFormat="1" applyFont="1"/>
    <xf numFmtId="0" fontId="3" fillId="0" borderId="0" xfId="0" applyFont="1" applyAlignment="1">
      <alignment horizontal="center"/>
    </xf>
    <xf numFmtId="0" fontId="3" fillId="0" borderId="0" xfId="0" applyFont="1" applyAlignment="1">
      <alignment horizontal="left" vertical="center" wrapText="1"/>
    </xf>
    <xf numFmtId="3" fontId="3" fillId="0" borderId="0" xfId="0" applyNumberFormat="1" applyFont="1" applyAlignment="1"/>
    <xf numFmtId="0" fontId="5" fillId="6" borderId="6" xfId="0" applyFont="1" applyFill="1" applyBorder="1" applyAlignment="1">
      <alignment horizontal="center" vertical="center" wrapText="1"/>
    </xf>
    <xf numFmtId="0" fontId="5" fillId="0" borderId="6" xfId="0" applyFont="1" applyBorder="1" applyAlignment="1"/>
    <xf numFmtId="168" fontId="5" fillId="0" borderId="6" xfId="0" applyNumberFormat="1" applyFont="1" applyBorder="1" applyAlignment="1"/>
    <xf numFmtId="0" fontId="3" fillId="6" borderId="6" xfId="0" applyFont="1" applyFill="1" applyBorder="1" applyAlignment="1">
      <alignment horizontal="center" vertical="center" wrapText="1"/>
    </xf>
    <xf numFmtId="3" fontId="5" fillId="0" borderId="6" xfId="0" applyNumberFormat="1" applyFont="1" applyBorder="1" applyAlignment="1">
      <alignment horizontal="center" wrapText="1"/>
    </xf>
    <xf numFmtId="9" fontId="5" fillId="0" borderId="6" xfId="0" applyNumberFormat="1" applyFont="1" applyBorder="1" applyAlignment="1">
      <alignment horizontal="center" wrapText="1"/>
    </xf>
    <xf numFmtId="168" fontId="3" fillId="0" borderId="6" xfId="0" applyNumberFormat="1" applyFont="1" applyBorder="1" applyAlignment="1">
      <alignment horizontal="center" wrapText="1"/>
    </xf>
    <xf numFmtId="9" fontId="5" fillId="0" borderId="6" xfId="0" applyNumberFormat="1" applyFont="1" applyBorder="1" applyAlignment="1">
      <alignment horizontal="center" vertical="center"/>
    </xf>
    <xf numFmtId="168" fontId="3" fillId="0" borderId="0" xfId="0" applyNumberFormat="1" applyFont="1"/>
    <xf numFmtId="168" fontId="5" fillId="0" borderId="6" xfId="0" applyNumberFormat="1" applyFont="1" applyBorder="1" applyAlignment="1">
      <alignment horizontal="center" wrapText="1"/>
    </xf>
    <xf numFmtId="4" fontId="5" fillId="0" borderId="6" xfId="0" applyNumberFormat="1" applyFont="1" applyBorder="1" applyAlignment="1"/>
    <xf numFmtId="0" fontId="7" fillId="6" borderId="6" xfId="0" applyFont="1" applyFill="1" applyBorder="1" applyAlignment="1">
      <alignment horizontal="center" vertical="center"/>
    </xf>
    <xf numFmtId="0" fontId="7" fillId="6" borderId="6" xfId="0" applyFont="1" applyFill="1" applyBorder="1" applyAlignment="1">
      <alignment horizontal="center" vertical="center" wrapText="1"/>
    </xf>
    <xf numFmtId="4" fontId="3" fillId="0" borderId="0" xfId="0" applyNumberFormat="1" applyFont="1" applyAlignment="1"/>
    <xf numFmtId="0" fontId="4" fillId="0" borderId="0" xfId="0" applyFont="1" applyAlignment="1"/>
    <xf numFmtId="0" fontId="0" fillId="0" borderId="0" xfId="0" applyFont="1" applyAlignment="1"/>
    <xf numFmtId="0" fontId="5" fillId="0" borderId="0" xfId="0" applyFont="1" applyAlignment="1"/>
    <xf numFmtId="0" fontId="6" fillId="0" borderId="0" xfId="0" applyFont="1" applyAlignment="1"/>
    <xf numFmtId="0" fontId="8" fillId="0" borderId="8" xfId="0" applyFont="1" applyBorder="1"/>
    <xf numFmtId="0" fontId="6" fillId="3" borderId="0" xfId="0" applyFont="1" applyFill="1" applyAlignment="1"/>
    <xf numFmtId="0" fontId="3" fillId="0" borderId="1" xfId="0" applyFont="1" applyBorder="1" applyAlignment="1">
      <alignment horizontal="left" vertical="center" wrapText="1"/>
    </xf>
    <xf numFmtId="0" fontId="8" fillId="0" borderId="2" xfId="0" applyFont="1" applyBorder="1"/>
    <xf numFmtId="0" fontId="8" fillId="0" borderId="9" xfId="0" applyFont="1" applyBorder="1"/>
    <xf numFmtId="0" fontId="8" fillId="0" borderId="4" xfId="0" applyFont="1" applyBorder="1"/>
    <xf numFmtId="0" fontId="8" fillId="0" borderId="5" xfId="0" applyFont="1" applyBorder="1"/>
    <xf numFmtId="0" fontId="8" fillId="0" borderId="10" xfId="0" applyFont="1" applyBorder="1"/>
    <xf numFmtId="0" fontId="8" fillId="0" borderId="3" xfId="0" applyFont="1" applyBorder="1"/>
    <xf numFmtId="0" fontId="8" fillId="0" borderId="11" xfId="0" applyFont="1" applyBorder="1"/>
    <xf numFmtId="0" fontId="3" fillId="0" borderId="1" xfId="0" applyFont="1" applyBorder="1" applyAlignment="1">
      <alignment vertical="center" wrapText="1"/>
    </xf>
    <xf numFmtId="0" fontId="5" fillId="0" borderId="1" xfId="0" applyFont="1" applyBorder="1" applyAlignment="1">
      <alignment horizontal="left" vertical="center" wrapText="1"/>
    </xf>
    <xf numFmtId="0" fontId="7" fillId="6" borderId="12" xfId="0" applyFont="1" applyFill="1" applyBorder="1" applyAlignment="1">
      <alignment horizontal="center" vertical="center"/>
    </xf>
    <xf numFmtId="0" fontId="8" fillId="0" borderId="13" xfId="0" applyFont="1" applyBorder="1"/>
    <xf numFmtId="0" fontId="8" fillId="0" borderId="14" xfId="0" applyFont="1" applyBorder="1"/>
    <xf numFmtId="0" fontId="3" fillId="0" borderId="1" xfId="0" applyFont="1" applyBorder="1" applyAlignment="1">
      <alignment vertical="top" wrapText="1"/>
    </xf>
    <xf numFmtId="0" fontId="7" fillId="0" borderId="0" xfId="0" applyFont="1" applyAlignment="1">
      <alignment horizontal="center"/>
    </xf>
    <xf numFmtId="0" fontId="3" fillId="0" borderId="1" xfId="0" applyFont="1" applyBorder="1" applyAlignment="1">
      <alignment horizontal="center" vertical="center" wrapText="1"/>
    </xf>
    <xf numFmtId="0" fontId="7" fillId="0" borderId="7" xfId="0" applyFont="1" applyBorder="1" applyAlignment="1">
      <alignment horizontal="center"/>
    </xf>
    <xf numFmtId="9" fontId="9" fillId="7" borderId="1"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1">
                <a:solidFill>
                  <a:srgbClr val="757575"/>
                </a:solidFill>
                <a:latin typeface="+mn-lt"/>
              </a:defRPr>
            </a:pPr>
            <a:r>
              <a:rPr lang="en-US" b="1">
                <a:solidFill>
                  <a:srgbClr val="757575"/>
                </a:solidFill>
                <a:latin typeface="+mn-lt"/>
              </a:rPr>
              <a:t>Evolución del % de Arándano Exportable</a:t>
            </a:r>
          </a:p>
        </c:rich>
      </c:tx>
      <c:layout/>
      <c:overlay val="0"/>
    </c:title>
    <c:autoTitleDeleted val="0"/>
    <c:plotArea>
      <c:layout/>
      <c:lineChart>
        <c:grouping val="standard"/>
        <c:varyColors val="1"/>
        <c:ser>
          <c:idx val="0"/>
          <c:order val="0"/>
          <c:spPr>
            <a:ln w="19050" cmpd="sng">
              <a:solidFill>
                <a:srgbClr val="FF0000">
                  <a:alpha val="100000"/>
                </a:srgbClr>
              </a:solidFill>
              <a:prstDash val="sysDot"/>
            </a:ln>
          </c:spPr>
          <c:marker>
            <c:symbol val="none"/>
          </c:marker>
          <c:dPt>
            <c:idx val="1"/>
            <c:bubble3D val="0"/>
            <c:extLst>
              <c:ext xmlns:c16="http://schemas.microsoft.com/office/drawing/2014/chart" uri="{C3380CC4-5D6E-409C-BE32-E72D297353CC}">
                <c16:uniqueId val="{00000000-00B6-47AC-987A-592D7B318E92}"/>
              </c:ext>
            </c:extLst>
          </c:dPt>
          <c:dPt>
            <c:idx val="2"/>
            <c:bubble3D val="0"/>
            <c:extLst>
              <c:ext xmlns:c16="http://schemas.microsoft.com/office/drawing/2014/chart" uri="{C3380CC4-5D6E-409C-BE32-E72D297353CC}">
                <c16:uniqueId val="{00000001-00B6-47AC-987A-592D7B318E92}"/>
              </c:ext>
            </c:extLst>
          </c:dPt>
          <c:dPt>
            <c:idx val="5"/>
            <c:bubble3D val="0"/>
            <c:extLst>
              <c:ext xmlns:c16="http://schemas.microsoft.com/office/drawing/2014/chart" uri="{C3380CC4-5D6E-409C-BE32-E72D297353CC}">
                <c16:uniqueId val="{00000002-00B6-47AC-987A-592D7B318E92}"/>
              </c:ext>
            </c:extLst>
          </c:dPt>
          <c:dPt>
            <c:idx val="6"/>
            <c:bubble3D val="0"/>
            <c:extLst>
              <c:ext xmlns:c16="http://schemas.microsoft.com/office/drawing/2014/chart" uri="{C3380CC4-5D6E-409C-BE32-E72D297353CC}">
                <c16:uniqueId val="{00000003-00B6-47AC-987A-592D7B318E92}"/>
              </c:ext>
            </c:extLst>
          </c:dPt>
          <c:dLbls>
            <c:spPr>
              <a:noFill/>
              <a:ln>
                <a:noFill/>
              </a:ln>
              <a:effectLst/>
            </c:spPr>
            <c:txPr>
              <a:bodyPr/>
              <a:lstStyle/>
              <a:p>
                <a:pPr lvl="0">
                  <a:defRPr sz="1200" b="0">
                    <a:solidFill>
                      <a:srgbClr val="000000"/>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'GRUPO III'!$A$93:$A$95</c:f>
              <c:strCache>
                <c:ptCount val="3"/>
                <c:pt idx="0">
                  <c:v>01 mayo 2026</c:v>
                </c:pt>
                <c:pt idx="1">
                  <c:v>01 mayo 2027</c:v>
                </c:pt>
                <c:pt idx="2">
                  <c:v>01 mayo 2028</c:v>
                </c:pt>
              </c:strCache>
            </c:strRef>
          </c:cat>
          <c:val>
            <c:numRef>
              <c:f>'GRUPO III'!$B$93:$B$95</c:f>
              <c:numCache>
                <c:formatCode>0%</c:formatCode>
                <c:ptCount val="3"/>
                <c:pt idx="0">
                  <c:v>0.75</c:v>
                </c:pt>
                <c:pt idx="1">
                  <c:v>0.75</c:v>
                </c:pt>
                <c:pt idx="2">
                  <c:v>0.75</c:v>
                </c:pt>
              </c:numCache>
            </c:numRef>
          </c:val>
          <c:smooth val="0"/>
          <c:extLst>
            <c:ext xmlns:c16="http://schemas.microsoft.com/office/drawing/2014/chart" uri="{C3380CC4-5D6E-409C-BE32-E72D297353CC}">
              <c16:uniqueId val="{00000004-00B6-47AC-987A-592D7B318E92}"/>
            </c:ext>
          </c:extLst>
        </c:ser>
        <c:ser>
          <c:idx val="1"/>
          <c:order val="1"/>
          <c:spPr>
            <a:ln w="19050" cmpd="sng">
              <a:solidFill>
                <a:srgbClr val="0B5394">
                  <a:alpha val="100000"/>
                </a:srgbClr>
              </a:solidFill>
              <a:prstDash val="solid"/>
            </a:ln>
          </c:spPr>
          <c:marker>
            <c:symbol val="none"/>
          </c:marker>
          <c:dPt>
            <c:idx val="0"/>
            <c:bubble3D val="0"/>
            <c:extLst>
              <c:ext xmlns:c16="http://schemas.microsoft.com/office/drawing/2014/chart" uri="{C3380CC4-5D6E-409C-BE32-E72D297353CC}">
                <c16:uniqueId val="{00000005-00B6-47AC-987A-592D7B318E92}"/>
              </c:ext>
            </c:extLst>
          </c:dPt>
          <c:dLbls>
            <c:dLbl>
              <c:idx val="0"/>
              <c:layout>
                <c:manualLayout>
                  <c:x val="-5.1097804391217562E-2"/>
                  <c:y val="-6.3948840927258192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00B6-47AC-987A-592D7B318E92}"/>
                </c:ext>
              </c:extLst>
            </c:dLbl>
            <c:dLbl>
              <c:idx val="1"/>
              <c:layout>
                <c:manualLayout>
                  <c:x val="-9.5808952779985069E-3"/>
                  <c:y val="-1.6471775869645267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00B6-47AC-987A-592D7B318E92}"/>
                </c:ext>
              </c:extLst>
            </c:dLbl>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'GRUPO III'!$A$93:$A$95</c:f>
              <c:strCache>
                <c:ptCount val="3"/>
                <c:pt idx="0">
                  <c:v>01 mayo 2026</c:v>
                </c:pt>
                <c:pt idx="1">
                  <c:v>01 mayo 2027</c:v>
                </c:pt>
                <c:pt idx="2">
                  <c:v>01 mayo 2028</c:v>
                </c:pt>
              </c:strCache>
            </c:strRef>
          </c:cat>
          <c:val>
            <c:numRef>
              <c:f>'GRUPO III'!$D$93:$D$95</c:f>
              <c:numCache>
                <c:formatCode>0%</c:formatCode>
                <c:ptCount val="3"/>
                <c:pt idx="0">
                  <c:v>0.75</c:v>
                </c:pt>
                <c:pt idx="1">
                  <c:v>0.85</c:v>
                </c:pt>
                <c:pt idx="2">
                  <c:v>0.85</c:v>
                </c:pt>
              </c:numCache>
            </c:numRef>
          </c:val>
          <c:smooth val="0"/>
          <c:extLst>
            <c:ext xmlns:c16="http://schemas.microsoft.com/office/drawing/2014/chart" uri="{C3380CC4-5D6E-409C-BE32-E72D297353CC}">
              <c16:uniqueId val="{00000006-00B6-47AC-987A-592D7B318E92}"/>
            </c:ext>
          </c:extLst>
        </c:ser>
        <c:dLbls>
          <c:showLegendKey val="0"/>
          <c:showVal val="0"/>
          <c:showCatName val="0"/>
          <c:showSerName val="0"/>
          <c:showPercent val="0"/>
          <c:showBubbleSize val="0"/>
        </c:dLbls>
        <c:smooth val="0"/>
        <c:axId val="1467765817"/>
        <c:axId val="1735762103"/>
      </c:lineChart>
      <c:catAx>
        <c:axId val="1467765817"/>
        <c:scaling>
          <c:orientation val="minMax"/>
        </c:scaling>
        <c:delete val="0"/>
        <c:axPos val="b"/>
        <c:title>
          <c:tx>
            <c:rich>
              <a:bodyPr/>
              <a:lstStyle/>
              <a:p>
                <a:pPr lvl="0">
                  <a:defRPr b="0">
                    <a:solidFill>
                      <a:srgbClr val="000000"/>
                    </a:solidFill>
                    <a:latin typeface="+mn-lt"/>
                  </a:defRPr>
                </a:pPr>
                <a:endParaRPr lang="en-US"/>
              </a:p>
            </c:rich>
          </c:tx>
          <c:layout/>
          <c:overlay val="0"/>
        </c:title>
        <c:numFmt formatCode="General" sourceLinked="1"/>
        <c:majorTickMark val="none"/>
        <c:minorTickMark val="none"/>
        <c:tickLblPos val="nextTo"/>
        <c:txPr>
          <a:bodyPr rot="-1800000"/>
          <a:lstStyle/>
          <a:p>
            <a:pPr lvl="0">
              <a:defRPr b="0">
                <a:solidFill>
                  <a:srgbClr val="000000"/>
                </a:solidFill>
                <a:latin typeface="+mn-lt"/>
              </a:defRPr>
            </a:pPr>
            <a:endParaRPr lang="en-US"/>
          </a:p>
        </c:txPr>
        <c:crossAx val="1735762103"/>
        <c:crosses val="autoZero"/>
        <c:auto val="1"/>
        <c:lblAlgn val="ctr"/>
        <c:lblOffset val="100"/>
        <c:noMultiLvlLbl val="1"/>
      </c:catAx>
      <c:valAx>
        <c:axId val="1735762103"/>
        <c:scaling>
          <c:orientation val="minMax"/>
          <c:min val="0.5"/>
        </c:scaling>
        <c:delete val="0"/>
        <c:axPos val="l"/>
        <c:majorGridlines>
          <c:spPr>
            <a:ln>
              <a:solidFill>
                <a:srgbClr val="FFFFFF"/>
              </a:solidFill>
            </a:ln>
          </c:spPr>
        </c:majorGridlines>
        <c:title>
          <c:tx>
            <c:rich>
              <a:bodyPr/>
              <a:lstStyle/>
              <a:p>
                <a:pPr lvl="0">
                  <a:defRPr b="0">
                    <a:solidFill>
                      <a:srgbClr val="000000"/>
                    </a:solidFill>
                    <a:latin typeface="+mn-lt"/>
                  </a:defRPr>
                </a:pPr>
                <a:r>
                  <a:rPr lang="en-US" b="0">
                    <a:solidFill>
                      <a:srgbClr val="000000"/>
                    </a:solidFill>
                    <a:latin typeface="+mn-lt"/>
                  </a:rPr>
                  <a:t>% Kg Exportables</a:t>
                </a:r>
              </a:p>
            </c:rich>
          </c:tx>
          <c:layout/>
          <c:overlay val="0"/>
        </c:title>
        <c:numFmt formatCode="General" sourceLinked="0"/>
        <c:majorTickMark val="none"/>
        <c:minorTickMark val="none"/>
        <c:tickLblPos val="nextTo"/>
        <c:spPr>
          <a:ln/>
        </c:spPr>
        <c:txPr>
          <a:bodyPr/>
          <a:lstStyle/>
          <a:p>
            <a:pPr lvl="0">
              <a:defRPr b="0">
                <a:solidFill>
                  <a:srgbClr val="000000"/>
                </a:solidFill>
                <a:latin typeface="+mn-lt"/>
              </a:defRPr>
            </a:pPr>
            <a:endParaRPr lang="en-US"/>
          </a:p>
        </c:txPr>
        <c:crossAx val="1467765817"/>
        <c:crosses val="autoZero"/>
        <c:crossBetween val="between"/>
      </c:valAx>
    </c:plotArea>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342900</xdr:colOff>
      <xdr:row>96</xdr:row>
      <xdr:rowOff>0</xdr:rowOff>
    </xdr:from>
    <xdr:ext cx="8305800" cy="4210050"/>
    <xdr:graphicFrame macro="">
      <xdr:nvGraphicFramePr>
        <xdr:cNvPr id="3" name="Chart 3" title="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685800</xdr:colOff>
      <xdr:row>103</xdr:row>
      <xdr:rowOff>152400</xdr:rowOff>
    </xdr:from>
    <xdr:ext cx="323850" cy="400050"/>
    <xdr:sp macro="" textlink="">
      <xdr:nvSpPr>
        <xdr:cNvPr id="6" name="Shape 6"/>
        <xdr:cNvSpPr/>
      </xdr:nvSpPr>
      <xdr:spPr>
        <a:xfrm>
          <a:off x="2105025" y="22107525"/>
          <a:ext cx="323850" cy="400050"/>
        </a:xfrm>
        <a:prstGeom prst="upArrow">
          <a:avLst>
            <a:gd name="adj1" fmla="val 50000"/>
            <a:gd name="adj2" fmla="val 50000"/>
          </a:avLst>
        </a:prstGeom>
        <a:solidFill>
          <a:srgbClr val="8E7CC3"/>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clientData fLocksWithSheet="0"/>
  </xdr:oneCellAnchor>
  <xdr:oneCellAnchor>
    <xdr:from>
      <xdr:col>1</xdr:col>
      <xdr:colOff>828674</xdr:colOff>
      <xdr:row>104</xdr:row>
      <xdr:rowOff>19050</xdr:rowOff>
    </xdr:from>
    <xdr:ext cx="1438275" cy="538579"/>
    <xdr:sp macro="" textlink="">
      <xdr:nvSpPr>
        <xdr:cNvPr id="7" name="Shape 7"/>
        <xdr:cNvSpPr txBox="1"/>
      </xdr:nvSpPr>
      <xdr:spPr>
        <a:xfrm>
          <a:off x="2247899" y="22174200"/>
          <a:ext cx="1438275" cy="538579"/>
        </a:xfrm>
        <a:prstGeom prst="rect">
          <a:avLst/>
        </a:prstGeom>
        <a:noFill/>
        <a:ln>
          <a:noFill/>
        </a:ln>
      </xdr:spPr>
      <xdr:txBody>
        <a:bodyPr spcFirstLastPara="1" wrap="square" lIns="91425" tIns="91425" rIns="91425" bIns="91425" anchor="t" anchorCtr="0">
          <a:spAutoFit/>
        </a:bodyPr>
        <a:lstStyle/>
        <a:p>
          <a:pPr marL="0" lvl="0" indent="0" algn="ctr" rtl="0">
            <a:spcBef>
              <a:spcPts val="0"/>
            </a:spcBef>
            <a:spcAft>
              <a:spcPts val="0"/>
            </a:spcAft>
            <a:buNone/>
          </a:pPr>
          <a:r>
            <a:rPr lang="en-US" sz="1100"/>
            <a:t>Indicador al cierre de campaña 202</a:t>
          </a:r>
          <a:r>
            <a:rPr lang="en-US" sz="1300"/>
            <a:t>6</a:t>
          </a:r>
          <a:endParaRPr sz="1300"/>
        </a:p>
      </xdr:txBody>
    </xdr:sp>
    <xdr:clientData fLocksWithSheet="0"/>
  </xdr:oneCellAnchor>
  <xdr:oneCellAnchor>
    <xdr:from>
      <xdr:col>4</xdr:col>
      <xdr:colOff>860722</xdr:colOff>
      <xdr:row>100</xdr:row>
      <xdr:rowOff>3149</xdr:rowOff>
    </xdr:from>
    <xdr:ext cx="352802" cy="244288"/>
    <xdr:sp macro="" textlink="">
      <xdr:nvSpPr>
        <xdr:cNvPr id="8" name="Shape 8"/>
        <xdr:cNvSpPr/>
      </xdr:nvSpPr>
      <xdr:spPr>
        <a:xfrm rot="18534901">
          <a:off x="4848804" y="21303942"/>
          <a:ext cx="244288" cy="352802"/>
        </a:xfrm>
        <a:prstGeom prst="upArrow">
          <a:avLst>
            <a:gd name="adj1" fmla="val 50000"/>
            <a:gd name="adj2" fmla="val 50000"/>
          </a:avLst>
        </a:prstGeom>
        <a:solidFill>
          <a:srgbClr val="C27BA0"/>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clientData fLocksWithSheet="0"/>
  </xdr:oneCellAnchor>
  <xdr:oneCellAnchor>
    <xdr:from>
      <xdr:col>5</xdr:col>
      <xdr:colOff>95249</xdr:colOff>
      <xdr:row>99</xdr:row>
      <xdr:rowOff>152400</xdr:rowOff>
    </xdr:from>
    <xdr:ext cx="3114675" cy="671307"/>
    <xdr:sp macro="" textlink="">
      <xdr:nvSpPr>
        <xdr:cNvPr id="9" name="Shape 9"/>
        <xdr:cNvSpPr txBox="1"/>
      </xdr:nvSpPr>
      <xdr:spPr>
        <a:xfrm>
          <a:off x="4972049" y="21307425"/>
          <a:ext cx="3114675" cy="671307"/>
        </a:xfrm>
        <a:prstGeom prst="rect">
          <a:avLst/>
        </a:prstGeom>
        <a:noFill/>
        <a:ln>
          <a:noFill/>
        </a:ln>
      </xdr:spPr>
      <xdr:txBody>
        <a:bodyPr spcFirstLastPara="1" wrap="square" lIns="91425" tIns="91425" rIns="91425" bIns="91425" anchor="t" anchorCtr="0">
          <a:spAutoFit/>
        </a:bodyPr>
        <a:lstStyle/>
        <a:p>
          <a:pPr marL="0" lvl="0" indent="0" algn="ctr" rtl="0">
            <a:spcBef>
              <a:spcPts val="0"/>
            </a:spcBef>
            <a:spcAft>
              <a:spcPts val="0"/>
            </a:spcAft>
            <a:buNone/>
          </a:pPr>
          <a:r>
            <a:rPr lang="en-US" sz="1100"/>
            <a:t>Indicador al cierre de campaña 2027 (con inversión)</a:t>
          </a:r>
          <a:endParaRPr sz="1100"/>
        </a:p>
        <a:p>
          <a:pPr marL="0" lvl="0" indent="0" algn="ctr" rtl="0">
            <a:spcBef>
              <a:spcPts val="0"/>
            </a:spcBef>
            <a:spcAft>
              <a:spcPts val="0"/>
            </a:spcAft>
            <a:buNone/>
          </a:pPr>
          <a:r>
            <a:rPr lang="en-US" sz="1100"/>
            <a:t>facturación adicional de 70000 soles</a:t>
          </a:r>
          <a:endParaRPr sz="1100"/>
        </a:p>
      </xdr:txBody>
    </xdr:sp>
    <xdr:clientData fLocksWithSheet="0"/>
  </xdr:oneCellAnchor>
  <xdr:oneCellAnchor>
    <xdr:from>
      <xdr:col>17</xdr:col>
      <xdr:colOff>104775</xdr:colOff>
      <xdr:row>41</xdr:row>
      <xdr:rowOff>28575</xdr:rowOff>
    </xdr:from>
    <xdr:ext cx="2409825" cy="1143000"/>
    <xdr:grpSp>
      <xdr:nvGrpSpPr>
        <xdr:cNvPr id="2" name="Shape 2" title="Dibujo"/>
        <xdr:cNvGrpSpPr/>
      </xdr:nvGrpSpPr>
      <xdr:grpSpPr>
        <a:xfrm>
          <a:off x="16087725" y="9305925"/>
          <a:ext cx="2409825" cy="1143000"/>
          <a:chOff x="3812825" y="2031450"/>
          <a:chExt cx="2691775" cy="1270800"/>
        </a:xfrm>
      </xdr:grpSpPr>
      <xdr:cxnSp macro="">
        <xdr:nvCxnSpPr>
          <xdr:cNvPr id="10" name="Shape 10"/>
          <xdr:cNvCxnSpPr/>
        </xdr:nvCxnSpPr>
        <xdr:spPr>
          <a:xfrm rot="10800000">
            <a:off x="3812825" y="2521800"/>
            <a:ext cx="460200" cy="0"/>
          </a:xfrm>
          <a:prstGeom prst="straightConnector1">
            <a:avLst/>
          </a:prstGeom>
          <a:noFill/>
          <a:ln w="9525" cap="flat" cmpd="sng">
            <a:solidFill>
              <a:srgbClr val="000000"/>
            </a:solidFill>
            <a:prstDash val="solid"/>
            <a:round/>
            <a:headEnd type="none" w="med" len="med"/>
            <a:tailEnd type="triangle" w="med" len="med"/>
          </a:ln>
        </xdr:spPr>
      </xdr:cxnSp>
      <xdr:sp macro="" textlink="">
        <xdr:nvSpPr>
          <xdr:cNvPr id="11" name="Shape 11"/>
          <xdr:cNvSpPr txBox="1"/>
        </xdr:nvSpPr>
        <xdr:spPr>
          <a:xfrm>
            <a:off x="4373100" y="2031450"/>
            <a:ext cx="2131500" cy="1270800"/>
          </a:xfrm>
          <a:prstGeom prst="rect">
            <a:avLst/>
          </a:prstGeom>
          <a:solidFill>
            <a:srgbClr val="FFFFFF"/>
          </a:solid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b="1"/>
              <a:t>Cuando aumenta un 1% los arándanos con calidad exportable, la facturación aumenta en 7000 soles.</a:t>
            </a:r>
            <a:endParaRPr sz="1400" b="1"/>
          </a:p>
        </xdr:txBody>
      </xdr:sp>
    </xdr:grpSp>
    <xdr:clientData fLocksWithSheet="0"/>
  </xdr:oneCellAnchor>
  <xdr:oneCellAnchor>
    <xdr:from>
      <xdr:col>24</xdr:col>
      <xdr:colOff>0</xdr:colOff>
      <xdr:row>17</xdr:row>
      <xdr:rowOff>0</xdr:rowOff>
    </xdr:from>
    <xdr:ext cx="5238750" cy="3714750"/>
    <xdr:pic>
      <xdr:nvPicPr>
        <xdr:cNvPr id="4" name="image8.png" title="Imagen"/>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21</xdr:col>
      <xdr:colOff>0</xdr:colOff>
      <xdr:row>46</xdr:row>
      <xdr:rowOff>0</xdr:rowOff>
    </xdr:from>
    <xdr:ext cx="5238750" cy="1524000"/>
    <xdr:pic>
      <xdr:nvPicPr>
        <xdr:cNvPr id="5" name="image7.png" title="Imagen"/>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24</xdr:col>
      <xdr:colOff>0</xdr:colOff>
      <xdr:row>29</xdr:row>
      <xdr:rowOff>0</xdr:rowOff>
    </xdr:from>
    <xdr:ext cx="5257800" cy="3743325"/>
    <xdr:pic>
      <xdr:nvPicPr>
        <xdr:cNvPr id="12" name="image9.png" title="Imagen"/>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R137"/>
  <sheetViews>
    <sheetView tabSelected="1" topLeftCell="A94" workbookViewId="0">
      <selection activeCell="K105" sqref="K105"/>
    </sheetView>
  </sheetViews>
  <sheetFormatPr baseColWidth="10" defaultColWidth="12.5703125" defaultRowHeight="15.75" customHeight="1" x14ac:dyDescent="0.2"/>
  <cols>
    <col min="1" max="1" width="21.28515625" customWidth="1"/>
    <col min="5" max="5" width="14.140625" bestFit="1" customWidth="1"/>
    <col min="7" max="7" width="17.140625" bestFit="1" customWidth="1"/>
    <col min="9" max="9" width="21" bestFit="1" customWidth="1"/>
    <col min="13" max="13" width="13.7109375" customWidth="1"/>
    <col min="17" max="17" width="14.140625" bestFit="1" customWidth="1"/>
  </cols>
  <sheetData>
    <row r="1" spans="1:17" ht="45" x14ac:dyDescent="0.6">
      <c r="A1" s="2" t="s">
        <v>0</v>
      </c>
    </row>
    <row r="3" spans="1:17" x14ac:dyDescent="0.2">
      <c r="B3" s="38" t="s">
        <v>18</v>
      </c>
      <c r="C3" s="34"/>
      <c r="D3" s="34"/>
      <c r="E3" s="34"/>
      <c r="F3" s="34"/>
      <c r="G3" s="34"/>
      <c r="H3" s="34"/>
      <c r="I3" s="34"/>
      <c r="J3" s="34"/>
      <c r="K3" s="34"/>
    </row>
    <row r="4" spans="1:17" x14ac:dyDescent="0.2">
      <c r="A4" s="3"/>
      <c r="B4" s="3"/>
      <c r="C4" s="3"/>
      <c r="D4" s="3"/>
      <c r="E4" s="3"/>
      <c r="F4" s="3"/>
      <c r="G4" s="3"/>
      <c r="H4" s="3"/>
    </row>
    <row r="5" spans="1:17" x14ac:dyDescent="0.2">
      <c r="A5" s="3"/>
      <c r="B5" s="4" t="s">
        <v>1</v>
      </c>
      <c r="C5" s="3"/>
      <c r="D5" s="3"/>
      <c r="E5" s="3"/>
      <c r="F5" s="3"/>
      <c r="G5" s="3"/>
      <c r="H5" s="3"/>
      <c r="L5" s="18"/>
      <c r="Q5" s="18"/>
    </row>
    <row r="6" spans="1:17" x14ac:dyDescent="0.2">
      <c r="A6" s="3"/>
      <c r="B6" s="48" t="s">
        <v>19</v>
      </c>
      <c r="C6" s="40"/>
      <c r="D6" s="40"/>
      <c r="E6" s="40"/>
      <c r="F6" s="40"/>
      <c r="G6" s="40"/>
      <c r="H6" s="40"/>
      <c r="I6" s="40"/>
      <c r="J6" s="40"/>
      <c r="K6" s="40"/>
      <c r="L6" s="40"/>
      <c r="M6" s="40"/>
      <c r="N6" s="40"/>
      <c r="O6" s="41"/>
      <c r="Q6" s="18"/>
    </row>
    <row r="7" spans="1:17" x14ac:dyDescent="0.2">
      <c r="A7" s="3"/>
      <c r="B7" s="45"/>
      <c r="C7" s="34"/>
      <c r="D7" s="34"/>
      <c r="E7" s="34"/>
      <c r="F7" s="34"/>
      <c r="G7" s="34"/>
      <c r="H7" s="34"/>
      <c r="I7" s="34"/>
      <c r="J7" s="34"/>
      <c r="K7" s="34"/>
      <c r="L7" s="34"/>
      <c r="M7" s="34"/>
      <c r="N7" s="34"/>
      <c r="O7" s="46"/>
    </row>
    <row r="8" spans="1:17" x14ac:dyDescent="0.2">
      <c r="A8" s="3"/>
      <c r="B8" s="45"/>
      <c r="C8" s="34"/>
      <c r="D8" s="34"/>
      <c r="E8" s="34"/>
      <c r="F8" s="34"/>
      <c r="G8" s="34"/>
      <c r="H8" s="34"/>
      <c r="I8" s="34"/>
      <c r="J8" s="34"/>
      <c r="K8" s="34"/>
      <c r="L8" s="34"/>
      <c r="M8" s="34"/>
      <c r="N8" s="34"/>
      <c r="O8" s="46"/>
    </row>
    <row r="9" spans="1:17" x14ac:dyDescent="0.2">
      <c r="A9" s="3"/>
      <c r="B9" s="45"/>
      <c r="C9" s="34"/>
      <c r="D9" s="34"/>
      <c r="E9" s="34"/>
      <c r="F9" s="34"/>
      <c r="G9" s="34"/>
      <c r="H9" s="34"/>
      <c r="I9" s="34"/>
      <c r="J9" s="34"/>
      <c r="K9" s="34"/>
      <c r="L9" s="34"/>
      <c r="M9" s="34"/>
      <c r="N9" s="34"/>
      <c r="O9" s="46"/>
    </row>
    <row r="10" spans="1:17" x14ac:dyDescent="0.2">
      <c r="A10" s="3"/>
      <c r="B10" s="45"/>
      <c r="C10" s="34"/>
      <c r="D10" s="34"/>
      <c r="E10" s="34"/>
      <c r="F10" s="34"/>
      <c r="G10" s="34"/>
      <c r="H10" s="34"/>
      <c r="I10" s="34"/>
      <c r="J10" s="34"/>
      <c r="K10" s="34"/>
      <c r="L10" s="34"/>
      <c r="M10" s="34"/>
      <c r="N10" s="34"/>
      <c r="O10" s="46"/>
    </row>
    <row r="11" spans="1:17" x14ac:dyDescent="0.2">
      <c r="A11" s="3"/>
      <c r="B11" s="45"/>
      <c r="C11" s="34"/>
      <c r="D11" s="34"/>
      <c r="E11" s="34"/>
      <c r="F11" s="34"/>
      <c r="G11" s="34"/>
      <c r="H11" s="34"/>
      <c r="I11" s="34"/>
      <c r="J11" s="34"/>
      <c r="K11" s="34"/>
      <c r="L11" s="34"/>
      <c r="M11" s="34"/>
      <c r="N11" s="34"/>
      <c r="O11" s="46"/>
    </row>
    <row r="12" spans="1:17" x14ac:dyDescent="0.2">
      <c r="A12" s="3"/>
      <c r="B12" s="45"/>
      <c r="C12" s="34"/>
      <c r="D12" s="34"/>
      <c r="E12" s="34"/>
      <c r="F12" s="34"/>
      <c r="G12" s="34"/>
      <c r="H12" s="34"/>
      <c r="I12" s="34"/>
      <c r="J12" s="34"/>
      <c r="K12" s="34"/>
      <c r="L12" s="34"/>
      <c r="M12" s="34"/>
      <c r="N12" s="34"/>
      <c r="O12" s="46"/>
    </row>
    <row r="13" spans="1:17" x14ac:dyDescent="0.2">
      <c r="A13" s="3"/>
      <c r="B13" s="45"/>
      <c r="C13" s="34"/>
      <c r="D13" s="34"/>
      <c r="E13" s="34"/>
      <c r="F13" s="34"/>
      <c r="G13" s="34"/>
      <c r="H13" s="34"/>
      <c r="I13" s="34"/>
      <c r="J13" s="34"/>
      <c r="K13" s="34"/>
      <c r="L13" s="34"/>
      <c r="M13" s="34"/>
      <c r="N13" s="34"/>
      <c r="O13" s="46"/>
    </row>
    <row r="14" spans="1:17" x14ac:dyDescent="0.2">
      <c r="A14" s="3"/>
      <c r="B14" s="45"/>
      <c r="C14" s="34"/>
      <c r="D14" s="34"/>
      <c r="E14" s="34"/>
      <c r="F14" s="34"/>
      <c r="G14" s="34"/>
      <c r="H14" s="34"/>
      <c r="I14" s="34"/>
      <c r="J14" s="34"/>
      <c r="K14" s="34"/>
      <c r="L14" s="34"/>
      <c r="M14" s="34"/>
      <c r="N14" s="34"/>
      <c r="O14" s="46"/>
    </row>
    <row r="15" spans="1:17" x14ac:dyDescent="0.2">
      <c r="A15" s="3"/>
      <c r="B15" s="45"/>
      <c r="C15" s="34"/>
      <c r="D15" s="34"/>
      <c r="E15" s="34"/>
      <c r="F15" s="34"/>
      <c r="G15" s="34"/>
      <c r="H15" s="34"/>
      <c r="I15" s="34"/>
      <c r="J15" s="34"/>
      <c r="K15" s="34"/>
      <c r="L15" s="34"/>
      <c r="M15" s="34"/>
      <c r="N15" s="34"/>
      <c r="O15" s="46"/>
    </row>
    <row r="16" spans="1:17" x14ac:dyDescent="0.2">
      <c r="A16" s="3"/>
      <c r="B16" s="45"/>
      <c r="C16" s="34"/>
      <c r="D16" s="34"/>
      <c r="E16" s="34"/>
      <c r="F16" s="34"/>
      <c r="G16" s="34"/>
      <c r="H16" s="34"/>
      <c r="I16" s="34"/>
      <c r="J16" s="34"/>
      <c r="K16" s="34"/>
      <c r="L16" s="34"/>
      <c r="M16" s="34"/>
      <c r="N16" s="34"/>
      <c r="O16" s="46"/>
    </row>
    <row r="17" spans="1:18" x14ac:dyDescent="0.2">
      <c r="A17" s="3"/>
      <c r="B17" s="45"/>
      <c r="C17" s="34"/>
      <c r="D17" s="34"/>
      <c r="E17" s="34"/>
      <c r="F17" s="34"/>
      <c r="G17" s="34"/>
      <c r="H17" s="34"/>
      <c r="I17" s="34"/>
      <c r="J17" s="34"/>
      <c r="K17" s="34"/>
      <c r="L17" s="34"/>
      <c r="M17" s="34"/>
      <c r="N17" s="34"/>
      <c r="O17" s="46"/>
    </row>
    <row r="18" spans="1:18" x14ac:dyDescent="0.2">
      <c r="A18" s="3"/>
      <c r="B18" s="45"/>
      <c r="C18" s="34"/>
      <c r="D18" s="34"/>
      <c r="E18" s="34"/>
      <c r="F18" s="34"/>
      <c r="G18" s="34"/>
      <c r="H18" s="34"/>
      <c r="I18" s="34"/>
      <c r="J18" s="34"/>
      <c r="K18" s="34"/>
      <c r="L18" s="34"/>
      <c r="M18" s="34"/>
      <c r="N18" s="34"/>
      <c r="O18" s="46"/>
    </row>
    <row r="19" spans="1:18" x14ac:dyDescent="0.2">
      <c r="A19" s="3"/>
      <c r="B19" s="45"/>
      <c r="C19" s="34"/>
      <c r="D19" s="34"/>
      <c r="E19" s="34"/>
      <c r="F19" s="34"/>
      <c r="G19" s="34"/>
      <c r="H19" s="34"/>
      <c r="I19" s="34"/>
      <c r="J19" s="34"/>
      <c r="K19" s="34"/>
      <c r="L19" s="34"/>
      <c r="M19" s="34"/>
      <c r="N19" s="34"/>
      <c r="O19" s="46"/>
    </row>
    <row r="20" spans="1:18" x14ac:dyDescent="0.2">
      <c r="A20" s="3"/>
      <c r="B20" s="45"/>
      <c r="C20" s="34"/>
      <c r="D20" s="34"/>
      <c r="E20" s="34"/>
      <c r="F20" s="34"/>
      <c r="G20" s="34"/>
      <c r="H20" s="34"/>
      <c r="I20" s="34"/>
      <c r="J20" s="34"/>
      <c r="K20" s="34"/>
      <c r="L20" s="34"/>
      <c r="M20" s="34"/>
      <c r="N20" s="34"/>
      <c r="O20" s="46"/>
    </row>
    <row r="21" spans="1:18" x14ac:dyDescent="0.2">
      <c r="A21" s="3"/>
      <c r="B21" s="42"/>
      <c r="C21" s="43"/>
      <c r="D21" s="43"/>
      <c r="E21" s="43"/>
      <c r="F21" s="43"/>
      <c r="G21" s="43"/>
      <c r="H21" s="43"/>
      <c r="I21" s="43"/>
      <c r="J21" s="43"/>
      <c r="K21" s="43"/>
      <c r="L21" s="43"/>
      <c r="M21" s="43"/>
      <c r="N21" s="43"/>
      <c r="O21" s="44"/>
    </row>
    <row r="22" spans="1:18" x14ac:dyDescent="0.2">
      <c r="A22" s="3"/>
      <c r="B22" s="3"/>
      <c r="C22" s="3"/>
      <c r="D22" s="3"/>
      <c r="E22" s="3"/>
      <c r="F22" s="3"/>
      <c r="G22" s="3"/>
      <c r="H22" s="3"/>
    </row>
    <row r="23" spans="1:18" x14ac:dyDescent="0.2">
      <c r="A23" s="3"/>
      <c r="B23" s="4" t="s">
        <v>2</v>
      </c>
      <c r="C23" s="3"/>
      <c r="D23" s="3"/>
      <c r="E23" s="3"/>
      <c r="F23" s="3"/>
      <c r="G23" s="3"/>
      <c r="H23" s="3"/>
    </row>
    <row r="24" spans="1:18" x14ac:dyDescent="0.2">
      <c r="A24" s="3"/>
      <c r="B24" s="13" t="s">
        <v>20</v>
      </c>
      <c r="C24" s="3"/>
      <c r="D24" s="3"/>
      <c r="E24" s="3"/>
      <c r="F24" s="3"/>
      <c r="G24" s="3"/>
      <c r="H24" s="3"/>
      <c r="M24" s="15"/>
      <c r="R24" s="15"/>
    </row>
    <row r="25" spans="1:18" x14ac:dyDescent="0.2">
      <c r="A25" s="3"/>
      <c r="B25" s="35" t="s">
        <v>21</v>
      </c>
      <c r="C25" s="34"/>
      <c r="D25" s="34"/>
      <c r="E25" s="34"/>
      <c r="F25" s="34"/>
      <c r="G25" s="5"/>
      <c r="H25" s="3"/>
      <c r="L25" s="10"/>
      <c r="M25" s="9"/>
      <c r="Q25" s="10"/>
      <c r="R25" s="9"/>
    </row>
    <row r="26" spans="1:18" x14ac:dyDescent="0.2">
      <c r="A26" s="3"/>
      <c r="B26" s="13" t="s">
        <v>22</v>
      </c>
      <c r="C26" s="3"/>
      <c r="D26" s="3"/>
      <c r="E26" s="3"/>
      <c r="F26" s="3"/>
      <c r="G26" s="3"/>
      <c r="H26" s="3"/>
    </row>
    <row r="27" spans="1:18" ht="38.25" x14ac:dyDescent="0.2">
      <c r="A27" s="3"/>
      <c r="B27" s="3"/>
      <c r="C27" s="3"/>
      <c r="D27" s="3"/>
      <c r="E27" s="3"/>
      <c r="F27" s="3"/>
      <c r="G27" s="19" t="s">
        <v>23</v>
      </c>
      <c r="H27" s="19" t="s">
        <v>24</v>
      </c>
    </row>
    <row r="28" spans="1:18" x14ac:dyDescent="0.2">
      <c r="A28" s="3"/>
      <c r="B28" s="4" t="s">
        <v>3</v>
      </c>
      <c r="C28" s="3"/>
      <c r="D28" s="3"/>
      <c r="E28" s="3"/>
      <c r="F28" s="3"/>
      <c r="G28" s="20" t="s">
        <v>25</v>
      </c>
      <c r="H28" s="21">
        <v>5</v>
      </c>
    </row>
    <row r="29" spans="1:18" x14ac:dyDescent="0.2">
      <c r="A29" s="3"/>
      <c r="B29" s="5" t="s">
        <v>4</v>
      </c>
      <c r="C29" s="3"/>
      <c r="D29" s="3"/>
      <c r="E29" s="3"/>
      <c r="F29" s="3"/>
      <c r="G29" s="20" t="s">
        <v>26</v>
      </c>
      <c r="H29" s="21">
        <v>12</v>
      </c>
    </row>
    <row r="30" spans="1:18" x14ac:dyDescent="0.2">
      <c r="A30" s="3"/>
      <c r="B30" s="3"/>
      <c r="C30" s="3"/>
      <c r="D30" s="3"/>
      <c r="E30" s="3"/>
      <c r="F30" s="3"/>
      <c r="G30" s="3"/>
      <c r="H30" s="3"/>
    </row>
    <row r="31" spans="1:18" ht="38.25" x14ac:dyDescent="0.2">
      <c r="A31" s="3"/>
      <c r="B31" s="4" t="s">
        <v>5</v>
      </c>
      <c r="C31" s="3"/>
      <c r="D31" s="3"/>
      <c r="E31" s="3"/>
      <c r="F31" s="3"/>
      <c r="G31" s="19" t="s">
        <v>27</v>
      </c>
      <c r="H31" s="19" t="s">
        <v>28</v>
      </c>
      <c r="I31" s="22" t="s">
        <v>29</v>
      </c>
      <c r="J31" s="22" t="s">
        <v>30</v>
      </c>
      <c r="L31" s="19" t="s">
        <v>27</v>
      </c>
      <c r="M31" s="19" t="s">
        <v>28</v>
      </c>
      <c r="N31" s="22"/>
      <c r="O31" s="22" t="s">
        <v>31</v>
      </c>
    </row>
    <row r="32" spans="1:18" x14ac:dyDescent="0.2">
      <c r="A32" s="3"/>
      <c r="B32" s="5" t="s">
        <v>32</v>
      </c>
      <c r="C32" s="3"/>
      <c r="D32" s="3"/>
      <c r="E32" s="3"/>
      <c r="F32" s="5"/>
      <c r="G32" s="23">
        <v>100000</v>
      </c>
      <c r="H32" s="24">
        <v>0.75</v>
      </c>
      <c r="I32" s="25">
        <f t="shared" ref="I32:I34" si="0">G32*H32*$H$29</f>
        <v>900000</v>
      </c>
      <c r="J32" s="25">
        <f t="shared" ref="J32:J34" si="1">H32*G32*$H$28</f>
        <v>375000</v>
      </c>
      <c r="L32" s="23">
        <v>100000</v>
      </c>
      <c r="M32" s="24">
        <f t="shared" ref="M32:M34" si="2">1-H32</f>
        <v>0.25</v>
      </c>
      <c r="N32" s="25"/>
      <c r="O32" s="25">
        <f t="shared" ref="O32:O34" si="3">L32*M32*$H$28</f>
        <v>125000</v>
      </c>
    </row>
    <row r="33" spans="1:17" x14ac:dyDescent="0.2">
      <c r="A33" s="3"/>
      <c r="B33" s="3"/>
      <c r="C33" s="3"/>
      <c r="D33" s="3"/>
      <c r="E33" s="3"/>
      <c r="F33" s="3"/>
      <c r="G33" s="23">
        <v>100000</v>
      </c>
      <c r="H33" s="26">
        <v>0.75</v>
      </c>
      <c r="I33" s="25">
        <f t="shared" si="0"/>
        <v>900000</v>
      </c>
      <c r="J33" s="25">
        <f t="shared" si="1"/>
        <v>375000</v>
      </c>
      <c r="L33" s="23">
        <v>100000</v>
      </c>
      <c r="M33" s="24">
        <f t="shared" si="2"/>
        <v>0.25</v>
      </c>
      <c r="N33" s="25"/>
      <c r="O33" s="25">
        <f t="shared" si="3"/>
        <v>125000</v>
      </c>
    </row>
    <row r="34" spans="1:17" x14ac:dyDescent="0.2">
      <c r="A34" s="3"/>
      <c r="B34" s="4" t="s">
        <v>6</v>
      </c>
      <c r="C34" s="3"/>
      <c r="D34" s="3"/>
      <c r="E34" s="3"/>
      <c r="F34" s="3"/>
      <c r="G34" s="23">
        <v>100000</v>
      </c>
      <c r="H34" s="26">
        <v>0.85</v>
      </c>
      <c r="I34" s="25">
        <f t="shared" si="0"/>
        <v>1020000</v>
      </c>
      <c r="J34" s="25">
        <f t="shared" si="1"/>
        <v>425000</v>
      </c>
      <c r="L34" s="23">
        <v>100000</v>
      </c>
      <c r="M34" s="24">
        <f t="shared" si="2"/>
        <v>0.15000000000000002</v>
      </c>
      <c r="N34" s="25"/>
      <c r="O34" s="25">
        <f t="shared" si="3"/>
        <v>75000.000000000015</v>
      </c>
    </row>
    <row r="35" spans="1:17" x14ac:dyDescent="0.2">
      <c r="A35" s="3"/>
      <c r="B35" s="6"/>
      <c r="C35" s="5" t="s">
        <v>33</v>
      </c>
      <c r="D35" s="3"/>
      <c r="E35" s="3"/>
      <c r="F35" s="3"/>
    </row>
    <row r="36" spans="1:17" x14ac:dyDescent="0.2">
      <c r="A36" s="3"/>
      <c r="B36" s="7"/>
      <c r="C36" s="35" t="s">
        <v>34</v>
      </c>
      <c r="D36" s="34"/>
      <c r="E36" s="3"/>
      <c r="F36" s="3"/>
      <c r="G36" s="23">
        <v>100000</v>
      </c>
      <c r="H36" s="21">
        <v>12</v>
      </c>
      <c r="I36" s="21">
        <f>G36*H36</f>
        <v>1200000</v>
      </c>
    </row>
    <row r="37" spans="1:17" ht="12.75" x14ac:dyDescent="0.2">
      <c r="A37" s="3"/>
      <c r="B37" s="8"/>
      <c r="C37" s="5" t="s">
        <v>35</v>
      </c>
      <c r="D37" s="3"/>
      <c r="E37" s="3"/>
      <c r="F37" s="3"/>
      <c r="G37" s="3"/>
      <c r="H37" s="5"/>
      <c r="J37" s="27">
        <f>J34-J33</f>
        <v>50000</v>
      </c>
    </row>
    <row r="38" spans="1:17" ht="12.75" x14ac:dyDescent="0.2">
      <c r="A38" s="3"/>
      <c r="B38" s="3"/>
      <c r="C38" s="3"/>
      <c r="D38" s="3"/>
      <c r="E38" s="3"/>
      <c r="F38" s="3"/>
      <c r="G38" s="3"/>
      <c r="H38" s="3"/>
    </row>
    <row r="39" spans="1:17" ht="12.75" x14ac:dyDescent="0.2">
      <c r="A39" s="3"/>
      <c r="B39" s="36" t="s">
        <v>7</v>
      </c>
      <c r="C39" s="34"/>
      <c r="D39" s="3"/>
      <c r="E39" s="3"/>
      <c r="F39" s="3"/>
      <c r="G39" s="3"/>
      <c r="H39" s="3"/>
    </row>
    <row r="40" spans="1:17" ht="38.25" x14ac:dyDescent="0.2">
      <c r="A40" s="3"/>
      <c r="B40" s="47" t="s">
        <v>36</v>
      </c>
      <c r="C40" s="40"/>
      <c r="D40" s="40"/>
      <c r="E40" s="40"/>
      <c r="F40" s="40"/>
      <c r="G40" s="40"/>
      <c r="H40" s="40"/>
      <c r="I40" s="40"/>
      <c r="J40" s="41"/>
      <c r="L40" s="19" t="s">
        <v>27</v>
      </c>
      <c r="M40" s="19" t="s">
        <v>28</v>
      </c>
      <c r="N40" s="19" t="s">
        <v>28</v>
      </c>
      <c r="O40" s="19" t="s">
        <v>28</v>
      </c>
      <c r="P40" s="22" t="s">
        <v>29</v>
      </c>
      <c r="Q40" s="22" t="s">
        <v>37</v>
      </c>
    </row>
    <row r="41" spans="1:17" ht="12.75" x14ac:dyDescent="0.2">
      <c r="B41" s="45"/>
      <c r="C41" s="34"/>
      <c r="D41" s="34"/>
      <c r="E41" s="34"/>
      <c r="F41" s="34"/>
      <c r="G41" s="34"/>
      <c r="H41" s="34"/>
      <c r="I41" s="34"/>
      <c r="J41" s="46"/>
      <c r="L41" s="23">
        <v>100000</v>
      </c>
      <c r="M41" s="24">
        <v>0.75</v>
      </c>
      <c r="N41" s="24">
        <v>0.25</v>
      </c>
      <c r="O41" s="28">
        <f>75%*L41*$H$29</f>
        <v>900000</v>
      </c>
      <c r="P41" s="28">
        <f>25%*L41*H28</f>
        <v>125000</v>
      </c>
      <c r="Q41" s="25">
        <f t="shared" ref="Q41:Q42" si="4">SUM(O41:P41)</f>
        <v>1025000</v>
      </c>
    </row>
    <row r="42" spans="1:17" ht="12.75" x14ac:dyDescent="0.2">
      <c r="B42" s="42"/>
      <c r="C42" s="43"/>
      <c r="D42" s="43"/>
      <c r="E42" s="43"/>
      <c r="F42" s="43"/>
      <c r="G42" s="43"/>
      <c r="H42" s="43"/>
      <c r="I42" s="43"/>
      <c r="J42" s="44"/>
      <c r="L42" s="23">
        <v>100000</v>
      </c>
      <c r="M42" s="24">
        <v>0.76</v>
      </c>
      <c r="N42" s="24">
        <v>0.24</v>
      </c>
      <c r="O42" s="28">
        <f>76%*L42*$H$29</f>
        <v>912000</v>
      </c>
      <c r="P42" s="28">
        <f>24%*L42*$H$28</f>
        <v>120000</v>
      </c>
      <c r="Q42" s="25">
        <f t="shared" si="4"/>
        <v>1032000</v>
      </c>
    </row>
    <row r="44" spans="1:17" ht="12.75" x14ac:dyDescent="0.2">
      <c r="Q44" s="27">
        <f>Q42-Q41</f>
        <v>7000</v>
      </c>
    </row>
    <row r="46" spans="1:17" ht="45" x14ac:dyDescent="0.6">
      <c r="A46" s="33" t="s">
        <v>8</v>
      </c>
      <c r="B46" s="34"/>
      <c r="C46" s="34"/>
      <c r="D46" s="34"/>
      <c r="E46" s="34"/>
      <c r="F46" s="34"/>
      <c r="G46" s="34"/>
    </row>
    <row r="48" spans="1:17" ht="12.75" x14ac:dyDescent="0.2">
      <c r="A48" s="49" t="s">
        <v>9</v>
      </c>
      <c r="B48" s="47" t="s">
        <v>38</v>
      </c>
      <c r="C48" s="40"/>
      <c r="D48" s="40"/>
      <c r="E48" s="40"/>
      <c r="F48" s="40"/>
      <c r="G48" s="40"/>
      <c r="H48" s="40"/>
      <c r="I48" s="41"/>
    </row>
    <row r="49" spans="1:9" ht="12.75" x14ac:dyDescent="0.2">
      <c r="A49" s="50"/>
      <c r="B49" s="45"/>
      <c r="C49" s="34"/>
      <c r="D49" s="34"/>
      <c r="E49" s="34"/>
      <c r="F49" s="34"/>
      <c r="G49" s="34"/>
      <c r="H49" s="34"/>
      <c r="I49" s="46"/>
    </row>
    <row r="50" spans="1:9" ht="12.75" x14ac:dyDescent="0.2">
      <c r="A50" s="50"/>
      <c r="B50" s="45"/>
      <c r="C50" s="34"/>
      <c r="D50" s="34"/>
      <c r="E50" s="34"/>
      <c r="F50" s="34"/>
      <c r="G50" s="34"/>
      <c r="H50" s="34"/>
      <c r="I50" s="46"/>
    </row>
    <row r="51" spans="1:9" ht="12.75" x14ac:dyDescent="0.2">
      <c r="A51" s="51"/>
      <c r="B51" s="42"/>
      <c r="C51" s="43"/>
      <c r="D51" s="43"/>
      <c r="E51" s="43"/>
      <c r="F51" s="43"/>
      <c r="G51" s="43"/>
      <c r="H51" s="43"/>
      <c r="I51" s="44"/>
    </row>
    <row r="53" spans="1:9" ht="12.75" x14ac:dyDescent="0.2">
      <c r="A53" s="49" t="s">
        <v>10</v>
      </c>
      <c r="B53" s="47" t="s">
        <v>39</v>
      </c>
      <c r="C53" s="40"/>
      <c r="D53" s="40"/>
      <c r="E53" s="40"/>
      <c r="F53" s="40"/>
      <c r="G53" s="40"/>
      <c r="H53" s="40"/>
      <c r="I53" s="41"/>
    </row>
    <row r="54" spans="1:9" ht="12.75" x14ac:dyDescent="0.2">
      <c r="A54" s="50"/>
      <c r="B54" s="45"/>
      <c r="C54" s="34"/>
      <c r="D54" s="34"/>
      <c r="E54" s="34"/>
      <c r="F54" s="34"/>
      <c r="G54" s="34"/>
      <c r="H54" s="34"/>
      <c r="I54" s="46"/>
    </row>
    <row r="55" spans="1:9" ht="12.75" x14ac:dyDescent="0.2">
      <c r="A55" s="50"/>
      <c r="B55" s="45"/>
      <c r="C55" s="34"/>
      <c r="D55" s="34"/>
      <c r="E55" s="34"/>
      <c r="F55" s="34"/>
      <c r="G55" s="34"/>
      <c r="H55" s="34"/>
      <c r="I55" s="46"/>
    </row>
    <row r="56" spans="1:9" ht="12.75" x14ac:dyDescent="0.2">
      <c r="A56" s="50"/>
      <c r="B56" s="45"/>
      <c r="C56" s="34"/>
      <c r="D56" s="34"/>
      <c r="E56" s="34"/>
      <c r="F56" s="34"/>
      <c r="G56" s="34"/>
      <c r="H56" s="34"/>
      <c r="I56" s="46"/>
    </row>
    <row r="57" spans="1:9" ht="12.75" x14ac:dyDescent="0.2">
      <c r="A57" s="51"/>
      <c r="B57" s="42"/>
      <c r="C57" s="43"/>
      <c r="D57" s="43"/>
      <c r="E57" s="43"/>
      <c r="F57" s="43"/>
      <c r="G57" s="43"/>
      <c r="H57" s="43"/>
      <c r="I57" s="44"/>
    </row>
    <row r="59" spans="1:9" ht="12.75" x14ac:dyDescent="0.2">
      <c r="A59" s="49" t="s">
        <v>11</v>
      </c>
      <c r="B59" s="52" t="s">
        <v>40</v>
      </c>
      <c r="C59" s="40"/>
      <c r="D59" s="40"/>
      <c r="E59" s="40"/>
      <c r="F59" s="40"/>
      <c r="G59" s="40"/>
      <c r="H59" s="40"/>
      <c r="I59" s="41"/>
    </row>
    <row r="60" spans="1:9" ht="12.75" x14ac:dyDescent="0.2">
      <c r="A60" s="50"/>
      <c r="B60" s="45"/>
      <c r="C60" s="34"/>
      <c r="D60" s="34"/>
      <c r="E60" s="34"/>
      <c r="F60" s="34"/>
      <c r="G60" s="34"/>
      <c r="H60" s="34"/>
      <c r="I60" s="46"/>
    </row>
    <row r="61" spans="1:9" ht="12.75" x14ac:dyDescent="0.2">
      <c r="A61" s="50"/>
      <c r="B61" s="45"/>
      <c r="C61" s="34"/>
      <c r="D61" s="34"/>
      <c r="E61" s="34"/>
      <c r="F61" s="34"/>
      <c r="G61" s="34"/>
      <c r="H61" s="34"/>
      <c r="I61" s="46"/>
    </row>
    <row r="62" spans="1:9" ht="12.75" x14ac:dyDescent="0.2">
      <c r="A62" s="50"/>
      <c r="B62" s="45"/>
      <c r="C62" s="34"/>
      <c r="D62" s="34"/>
      <c r="E62" s="34"/>
      <c r="F62" s="34"/>
      <c r="G62" s="34"/>
      <c r="H62" s="34"/>
      <c r="I62" s="46"/>
    </row>
    <row r="63" spans="1:9" ht="12.75" x14ac:dyDescent="0.2">
      <c r="A63" s="50"/>
      <c r="B63" s="45"/>
      <c r="C63" s="34"/>
      <c r="D63" s="34"/>
      <c r="E63" s="34"/>
      <c r="F63" s="34"/>
      <c r="G63" s="34"/>
      <c r="H63" s="34"/>
      <c r="I63" s="46"/>
    </row>
    <row r="64" spans="1:9" ht="12.75" x14ac:dyDescent="0.2">
      <c r="A64" s="51"/>
      <c r="B64" s="42"/>
      <c r="C64" s="43"/>
      <c r="D64" s="43"/>
      <c r="E64" s="43"/>
      <c r="F64" s="43"/>
      <c r="G64" s="43"/>
      <c r="H64" s="43"/>
      <c r="I64" s="44"/>
    </row>
    <row r="71" spans="1:8" ht="45" x14ac:dyDescent="0.6">
      <c r="A71" s="33" t="s">
        <v>12</v>
      </c>
      <c r="B71" s="34"/>
      <c r="C71" s="34"/>
      <c r="D71" s="34"/>
      <c r="E71" s="34"/>
      <c r="F71" s="34"/>
      <c r="G71" s="34"/>
    </row>
    <row r="73" spans="1:8" ht="12.75" x14ac:dyDescent="0.2">
      <c r="A73" s="53" t="s">
        <v>41</v>
      </c>
      <c r="B73" s="34"/>
      <c r="C73" s="34"/>
      <c r="D73" s="34"/>
      <c r="E73" s="34"/>
      <c r="F73" s="34"/>
      <c r="G73" s="47" t="s">
        <v>42</v>
      </c>
      <c r="H73" s="41"/>
    </row>
    <row r="74" spans="1:8" ht="12.75" x14ac:dyDescent="0.2">
      <c r="G74" s="42"/>
      <c r="H74" s="44"/>
    </row>
    <row r="75" spans="1:8" ht="12.75" x14ac:dyDescent="0.2">
      <c r="A75" s="54" t="s">
        <v>43</v>
      </c>
      <c r="B75" s="41"/>
    </row>
    <row r="76" spans="1:8" ht="12.75" x14ac:dyDescent="0.2">
      <c r="A76" s="45"/>
      <c r="B76" s="46"/>
    </row>
    <row r="77" spans="1:8" ht="12.75" x14ac:dyDescent="0.2">
      <c r="A77" s="42"/>
      <c r="B77" s="44"/>
    </row>
    <row r="79" spans="1:8" ht="12.75" x14ac:dyDescent="0.2">
      <c r="A79" s="55" t="s">
        <v>44</v>
      </c>
      <c r="B79" s="37"/>
      <c r="C79" s="3"/>
    </row>
    <row r="80" spans="1:8" ht="12.75" x14ac:dyDescent="0.2">
      <c r="A80" s="56">
        <v>0.75</v>
      </c>
      <c r="B80" s="41"/>
      <c r="C80" s="3"/>
    </row>
    <row r="81" spans="1:15" ht="12.75" x14ac:dyDescent="0.2">
      <c r="A81" s="45"/>
      <c r="B81" s="46"/>
      <c r="C81" s="3"/>
    </row>
    <row r="82" spans="1:15" ht="12.75" x14ac:dyDescent="0.2">
      <c r="A82" s="42"/>
      <c r="B82" s="44"/>
      <c r="C82" s="3"/>
    </row>
    <row r="83" spans="1:15" ht="12.75" x14ac:dyDescent="0.2">
      <c r="C83" s="3"/>
    </row>
    <row r="84" spans="1:15" ht="12.75" x14ac:dyDescent="0.2">
      <c r="A84" s="4" t="s">
        <v>6</v>
      </c>
      <c r="B84" s="3"/>
      <c r="C84" s="3"/>
    </row>
    <row r="85" spans="1:15" ht="12.75" x14ac:dyDescent="0.2">
      <c r="A85" s="6"/>
      <c r="B85" s="5" t="s">
        <v>33</v>
      </c>
      <c r="C85" s="5"/>
    </row>
    <row r="86" spans="1:15" ht="12.75" x14ac:dyDescent="0.2">
      <c r="A86" s="7"/>
      <c r="B86" s="5" t="s">
        <v>34</v>
      </c>
      <c r="C86" s="3"/>
    </row>
    <row r="87" spans="1:15" ht="38.25" x14ac:dyDescent="0.2">
      <c r="A87" s="8"/>
      <c r="B87" s="5" t="s">
        <v>35</v>
      </c>
      <c r="K87" s="19" t="s">
        <v>23</v>
      </c>
      <c r="L87" s="19" t="s">
        <v>24</v>
      </c>
    </row>
    <row r="88" spans="1:15" ht="12.75" x14ac:dyDescent="0.2">
      <c r="K88" s="20" t="s">
        <v>25</v>
      </c>
      <c r="L88" s="21">
        <v>5</v>
      </c>
    </row>
    <row r="89" spans="1:15" ht="12.75" x14ac:dyDescent="0.2">
      <c r="K89" s="20" t="s">
        <v>26</v>
      </c>
      <c r="L89" s="21">
        <v>12</v>
      </c>
    </row>
    <row r="90" spans="1:15" ht="45" x14ac:dyDescent="0.6">
      <c r="A90" s="33" t="s">
        <v>15</v>
      </c>
      <c r="B90" s="34"/>
      <c r="C90" s="34"/>
      <c r="D90" s="34"/>
      <c r="E90" s="34"/>
      <c r="F90" s="34"/>
      <c r="G90" s="34"/>
    </row>
    <row r="91" spans="1:15" ht="12.75" x14ac:dyDescent="0.2">
      <c r="A91" s="29">
        <v>100000</v>
      </c>
      <c r="B91" s="1" t="s">
        <v>45</v>
      </c>
      <c r="I91" s="18"/>
    </row>
    <row r="92" spans="1:15" ht="38.25" x14ac:dyDescent="0.2">
      <c r="A92" s="30" t="s">
        <v>46</v>
      </c>
      <c r="B92" s="31" t="s">
        <v>47</v>
      </c>
      <c r="C92" s="31" t="s">
        <v>48</v>
      </c>
      <c r="D92" s="31" t="s">
        <v>49</v>
      </c>
      <c r="E92" s="31" t="s">
        <v>50</v>
      </c>
      <c r="F92" s="31" t="s">
        <v>17</v>
      </c>
    </row>
    <row r="93" spans="1:15" ht="12.75" x14ac:dyDescent="0.2">
      <c r="A93" s="11" t="s">
        <v>51</v>
      </c>
      <c r="B93" s="12">
        <v>0.75</v>
      </c>
      <c r="C93" s="25">
        <f t="shared" ref="C93:C95" si="5">B93*$A$91*$L$89</f>
        <v>900000</v>
      </c>
      <c r="D93" s="12">
        <v>0.75</v>
      </c>
      <c r="E93" s="25">
        <f t="shared" ref="E93:E95" si="6">D93*$A$91*$L$89</f>
        <v>900000</v>
      </c>
      <c r="F93" s="25">
        <f t="shared" ref="F93:F95" si="7">E93-C93</f>
        <v>0</v>
      </c>
      <c r="L93" s="14">
        <f t="shared" ref="L93:L94" si="8">D94-B94</f>
        <v>9.9999999999999978E-2</v>
      </c>
      <c r="N93" s="27">
        <f>L89</f>
        <v>12</v>
      </c>
      <c r="O93" s="27">
        <f>A91*L93*N93</f>
        <v>119999.99999999997</v>
      </c>
    </row>
    <row r="94" spans="1:15" ht="12.75" x14ac:dyDescent="0.2">
      <c r="A94" s="11" t="s">
        <v>52</v>
      </c>
      <c r="B94" s="12">
        <v>0.75</v>
      </c>
      <c r="C94" s="25">
        <f t="shared" si="5"/>
        <v>900000</v>
      </c>
      <c r="D94" s="12">
        <v>0.85</v>
      </c>
      <c r="E94" s="25">
        <f t="shared" si="6"/>
        <v>1020000</v>
      </c>
      <c r="F94" s="25">
        <f t="shared" si="7"/>
        <v>120000</v>
      </c>
      <c r="L94" s="14">
        <f t="shared" si="8"/>
        <v>9.9999999999999978E-2</v>
      </c>
      <c r="N94" s="27">
        <f>L88</f>
        <v>5</v>
      </c>
      <c r="O94" s="27">
        <f>A91*L94*N94</f>
        <v>49999.999999999993</v>
      </c>
    </row>
    <row r="95" spans="1:15" ht="12.75" x14ac:dyDescent="0.2">
      <c r="A95" s="11" t="s">
        <v>53</v>
      </c>
      <c r="B95" s="12">
        <v>0.75</v>
      </c>
      <c r="C95" s="25">
        <f t="shared" si="5"/>
        <v>900000</v>
      </c>
      <c r="D95" s="12">
        <v>0.85</v>
      </c>
      <c r="E95" s="25">
        <f t="shared" si="6"/>
        <v>1020000</v>
      </c>
      <c r="F95" s="25">
        <f t="shared" si="7"/>
        <v>120000</v>
      </c>
      <c r="O95" s="27">
        <f>O93-O94</f>
        <v>69999.999999999971</v>
      </c>
    </row>
    <row r="96" spans="1:15" ht="12.75" x14ac:dyDescent="0.2">
      <c r="B96" s="32"/>
      <c r="C96" s="9"/>
      <c r="D96" s="27"/>
    </row>
    <row r="107" spans="10:10" ht="12.75" x14ac:dyDescent="0.2">
      <c r="J107" s="16"/>
    </row>
    <row r="119" spans="1:9" ht="12.75" x14ac:dyDescent="0.2">
      <c r="A119" s="49" t="s">
        <v>13</v>
      </c>
      <c r="B119" s="39" t="s">
        <v>54</v>
      </c>
      <c r="C119" s="40"/>
      <c r="D119" s="40"/>
      <c r="E119" s="40"/>
      <c r="F119" s="40"/>
      <c r="G119" s="40"/>
      <c r="H119" s="40"/>
      <c r="I119" s="41"/>
    </row>
    <row r="120" spans="1:9" ht="12.75" x14ac:dyDescent="0.2">
      <c r="A120" s="50"/>
      <c r="B120" s="45"/>
      <c r="C120" s="34"/>
      <c r="D120" s="34"/>
      <c r="E120" s="34"/>
      <c r="F120" s="34"/>
      <c r="G120" s="34"/>
      <c r="H120" s="34"/>
      <c r="I120" s="46"/>
    </row>
    <row r="121" spans="1:9" ht="12.75" x14ac:dyDescent="0.2">
      <c r="A121" s="50"/>
      <c r="B121" s="45"/>
      <c r="C121" s="34"/>
      <c r="D121" s="34"/>
      <c r="E121" s="34"/>
      <c r="F121" s="34"/>
      <c r="G121" s="34"/>
      <c r="H121" s="34"/>
      <c r="I121" s="46"/>
    </row>
    <row r="122" spans="1:9" ht="12.75" x14ac:dyDescent="0.2">
      <c r="A122" s="50"/>
      <c r="B122" s="45"/>
      <c r="C122" s="34"/>
      <c r="D122" s="34"/>
      <c r="E122" s="34"/>
      <c r="F122" s="34"/>
      <c r="G122" s="34"/>
      <c r="H122" s="34"/>
      <c r="I122" s="46"/>
    </row>
    <row r="123" spans="1:9" ht="12.75" x14ac:dyDescent="0.2">
      <c r="A123" s="51"/>
      <c r="B123" s="42"/>
      <c r="C123" s="43"/>
      <c r="D123" s="43"/>
      <c r="E123" s="43"/>
      <c r="F123" s="43"/>
      <c r="G123" s="43"/>
      <c r="H123" s="43"/>
      <c r="I123" s="44"/>
    </row>
    <row r="124" spans="1:9" ht="12.75" x14ac:dyDescent="0.2">
      <c r="A124" s="1"/>
      <c r="B124" s="17"/>
      <c r="C124" s="17"/>
      <c r="D124" s="17"/>
      <c r="E124" s="17"/>
      <c r="F124" s="17"/>
      <c r="G124" s="17"/>
    </row>
    <row r="125" spans="1:9" ht="12.75" x14ac:dyDescent="0.2">
      <c r="A125" s="49" t="s">
        <v>14</v>
      </c>
      <c r="B125" s="39" t="s">
        <v>55</v>
      </c>
      <c r="C125" s="40"/>
      <c r="D125" s="40"/>
      <c r="E125" s="40"/>
      <c r="F125" s="40"/>
      <c r="G125" s="40"/>
      <c r="H125" s="40"/>
      <c r="I125" s="41"/>
    </row>
    <row r="126" spans="1:9" ht="12.75" x14ac:dyDescent="0.2">
      <c r="A126" s="50"/>
      <c r="B126" s="45"/>
      <c r="C126" s="34"/>
      <c r="D126" s="34"/>
      <c r="E126" s="34"/>
      <c r="F126" s="34"/>
      <c r="G126" s="34"/>
      <c r="H126" s="34"/>
      <c r="I126" s="46"/>
    </row>
    <row r="127" spans="1:9" ht="12.75" x14ac:dyDescent="0.2">
      <c r="A127" s="50"/>
      <c r="B127" s="45"/>
      <c r="C127" s="34"/>
      <c r="D127" s="34"/>
      <c r="E127" s="34"/>
      <c r="F127" s="34"/>
      <c r="G127" s="34"/>
      <c r="H127" s="34"/>
      <c r="I127" s="46"/>
    </row>
    <row r="128" spans="1:9" ht="12.75" x14ac:dyDescent="0.2">
      <c r="A128" s="50"/>
      <c r="B128" s="45"/>
      <c r="C128" s="34"/>
      <c r="D128" s="34"/>
      <c r="E128" s="34"/>
      <c r="F128" s="34"/>
      <c r="G128" s="34"/>
      <c r="H128" s="34"/>
      <c r="I128" s="46"/>
    </row>
    <row r="129" spans="1:9" ht="12.75" x14ac:dyDescent="0.2">
      <c r="A129" s="51"/>
      <c r="B129" s="42"/>
      <c r="C129" s="43"/>
      <c r="D129" s="43"/>
      <c r="E129" s="43"/>
      <c r="F129" s="43"/>
      <c r="G129" s="43"/>
      <c r="H129" s="43"/>
      <c r="I129" s="44"/>
    </row>
    <row r="130" spans="1:9" ht="12.75" x14ac:dyDescent="0.2">
      <c r="A130" s="1"/>
      <c r="B130" s="17"/>
      <c r="C130" s="17"/>
      <c r="D130" s="17"/>
      <c r="E130" s="17"/>
      <c r="F130" s="17"/>
      <c r="G130" s="17"/>
    </row>
    <row r="131" spans="1:9" ht="12.75" x14ac:dyDescent="0.2">
      <c r="A131" s="49" t="s">
        <v>16</v>
      </c>
      <c r="B131" s="39" t="s">
        <v>56</v>
      </c>
      <c r="C131" s="40"/>
      <c r="D131" s="40"/>
      <c r="E131" s="40"/>
      <c r="F131" s="40"/>
      <c r="G131" s="40"/>
      <c r="H131" s="40"/>
      <c r="I131" s="41"/>
    </row>
    <row r="132" spans="1:9" ht="12.75" x14ac:dyDescent="0.2">
      <c r="A132" s="50"/>
      <c r="B132" s="45"/>
      <c r="C132" s="34"/>
      <c r="D132" s="34"/>
      <c r="E132" s="34"/>
      <c r="F132" s="34"/>
      <c r="G132" s="34"/>
      <c r="H132" s="34"/>
      <c r="I132" s="46"/>
    </row>
    <row r="133" spans="1:9" ht="12.75" x14ac:dyDescent="0.2">
      <c r="A133" s="50"/>
      <c r="B133" s="45"/>
      <c r="C133" s="34"/>
      <c r="D133" s="34"/>
      <c r="E133" s="34"/>
      <c r="F133" s="34"/>
      <c r="G133" s="34"/>
      <c r="H133" s="34"/>
      <c r="I133" s="46"/>
    </row>
    <row r="134" spans="1:9" ht="12.75" x14ac:dyDescent="0.2">
      <c r="A134" s="50"/>
      <c r="B134" s="45"/>
      <c r="C134" s="34"/>
      <c r="D134" s="34"/>
      <c r="E134" s="34"/>
      <c r="F134" s="34"/>
      <c r="G134" s="34"/>
      <c r="H134" s="34"/>
      <c r="I134" s="46"/>
    </row>
    <row r="135" spans="1:9" ht="12.75" x14ac:dyDescent="0.2">
      <c r="A135" s="50"/>
      <c r="B135" s="45"/>
      <c r="C135" s="34"/>
      <c r="D135" s="34"/>
      <c r="E135" s="34"/>
      <c r="F135" s="34"/>
      <c r="G135" s="34"/>
      <c r="H135" s="34"/>
      <c r="I135" s="46"/>
    </row>
    <row r="136" spans="1:9" ht="12.75" x14ac:dyDescent="0.2">
      <c r="A136" s="50"/>
      <c r="B136" s="45"/>
      <c r="C136" s="34"/>
      <c r="D136" s="34"/>
      <c r="E136" s="34"/>
      <c r="F136" s="34"/>
      <c r="G136" s="34"/>
      <c r="H136" s="34"/>
      <c r="I136" s="46"/>
    </row>
    <row r="137" spans="1:9" ht="12.75" x14ac:dyDescent="0.2">
      <c r="A137" s="51"/>
      <c r="B137" s="42"/>
      <c r="C137" s="43"/>
      <c r="D137" s="43"/>
      <c r="E137" s="43"/>
      <c r="F137" s="43"/>
      <c r="G137" s="43"/>
      <c r="H137" s="43"/>
      <c r="I137" s="44"/>
    </row>
  </sheetData>
  <mergeCells count="26">
    <mergeCell ref="A131:A137"/>
    <mergeCell ref="B125:I129"/>
    <mergeCell ref="B131:I137"/>
    <mergeCell ref="A73:F73"/>
    <mergeCell ref="G73:H74"/>
    <mergeCell ref="A75:B77"/>
    <mergeCell ref="A79:B79"/>
    <mergeCell ref="A80:B82"/>
    <mergeCell ref="A90:G90"/>
    <mergeCell ref="B119:I123"/>
    <mergeCell ref="A59:A64"/>
    <mergeCell ref="B59:I64"/>
    <mergeCell ref="A71:G71"/>
    <mergeCell ref="A119:A123"/>
    <mergeCell ref="A125:A129"/>
    <mergeCell ref="A46:G46"/>
    <mergeCell ref="B6:O21"/>
    <mergeCell ref="A48:A51"/>
    <mergeCell ref="B48:I51"/>
    <mergeCell ref="A53:A57"/>
    <mergeCell ref="B53:I57"/>
    <mergeCell ref="B3:K3"/>
    <mergeCell ref="B25:F25"/>
    <mergeCell ref="C36:D36"/>
    <mergeCell ref="B39:C39"/>
    <mergeCell ref="B40:J4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GRUPO III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rodrigo.lovera.s@gmail.com</cp:lastModifiedBy>
  <dcterms:modified xsi:type="dcterms:W3CDTF">2026-05-13T01:41:36Z</dcterms:modified>
</cp:coreProperties>
</file>